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HP\Desktop\KUNAL\week 1\"/>
    </mc:Choice>
  </mc:AlternateContent>
  <xr:revisionPtr revIDLastSave="0" documentId="13_ncr:1_{168A3922-7A02-4F54-B5F5-56D0A1C5CB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D11" i="1" l="1"/>
  <c r="D13" i="1"/>
  <c r="B16" i="1"/>
  <c r="D16" i="1" l="1"/>
  <c r="D17" i="1" s="1"/>
</calcChain>
</file>

<file path=xl/sharedStrings.xml><?xml version="1.0" encoding="utf-8"?>
<sst xmlns="http://schemas.openxmlformats.org/spreadsheetml/2006/main" count="22" uniqueCount="21">
  <si>
    <t>SALARY ADVICE FOR MARCH 2026</t>
  </si>
  <si>
    <t>EMPLOYEE</t>
  </si>
  <si>
    <t>T MARONGO</t>
  </si>
  <si>
    <t>STAFF NO.</t>
  </si>
  <si>
    <t>DATE</t>
  </si>
  <si>
    <t>NEXT PAY DATE</t>
  </si>
  <si>
    <t>BASIC SALARY p.a.</t>
  </si>
  <si>
    <t>INCOME</t>
  </si>
  <si>
    <t>AMOUNT</t>
  </si>
  <si>
    <t>DEDUCTIONS</t>
  </si>
  <si>
    <t>Basic Salary</t>
  </si>
  <si>
    <t>Pension @8%</t>
  </si>
  <si>
    <t>Housing Subsidy</t>
  </si>
  <si>
    <t>P.A.Y.E.</t>
  </si>
  <si>
    <t>Vehicle Allowance</t>
  </si>
  <si>
    <t>U.I.F.</t>
  </si>
  <si>
    <t>Medical Aid</t>
  </si>
  <si>
    <t>Bond Repayment</t>
  </si>
  <si>
    <t>Gross Income</t>
  </si>
  <si>
    <t>Total Deductions</t>
  </si>
  <si>
    <t>Net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</si>
</sst>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₹-4009]\ #,##0.00"/>
  </numFmts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5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view="pageLayout" zoomScaleNormal="100" workbookViewId="0">
      <selection activeCell="C45" sqref="C45"/>
    </sheetView>
  </sheetViews>
  <sheetFormatPr defaultRowHeight="15" x14ac:dyDescent="0.25"/>
  <cols>
    <col min="1" max="1" width="37.140625" customWidth="1"/>
    <col min="2" max="2" width="14.140625" customWidth="1"/>
    <col min="3" max="3" width="19.7109375" customWidth="1"/>
    <col min="4" max="4" width="19.42578125" customWidth="1"/>
  </cols>
  <sheetData>
    <row r="1" spans="1:4" ht="21" x14ac:dyDescent="0.35">
      <c r="A1" s="1" t="s">
        <v>0</v>
      </c>
      <c r="B1" s="1"/>
      <c r="C1" s="1"/>
      <c r="D1" s="1"/>
    </row>
    <row r="2" spans="1:4" x14ac:dyDescent="0.25">
      <c r="A2" t="s">
        <v>1</v>
      </c>
      <c r="B2" t="s">
        <v>2</v>
      </c>
    </row>
    <row r="3" spans="1:4" x14ac:dyDescent="0.25">
      <c r="A3" t="s">
        <v>3</v>
      </c>
      <c r="B3">
        <v>4</v>
      </c>
    </row>
    <row r="4" spans="1:4" x14ac:dyDescent="0.25">
      <c r="A4" t="s">
        <v>4</v>
      </c>
      <c r="B4" s="2">
        <v>42460</v>
      </c>
    </row>
    <row r="5" spans="1:4" x14ac:dyDescent="0.25">
      <c r="A5" t="s">
        <v>5</v>
      </c>
      <c r="B5" s="2">
        <v>42490</v>
      </c>
    </row>
    <row r="6" spans="1:4" x14ac:dyDescent="0.25">
      <c r="A6" t="s">
        <v>6</v>
      </c>
      <c r="B6" s="3">
        <v>31200</v>
      </c>
    </row>
    <row r="10" spans="1:4" x14ac:dyDescent="0.25">
      <c r="A10" t="s">
        <v>7</v>
      </c>
      <c r="B10" t="s">
        <v>8</v>
      </c>
      <c r="C10" t="s">
        <v>9</v>
      </c>
      <c r="D10" t="s">
        <v>8</v>
      </c>
    </row>
    <row r="11" spans="1:4" x14ac:dyDescent="0.25">
      <c r="A11" t="s">
        <v>10</v>
      </c>
      <c r="B11" s="3">
        <f>B6/12</f>
        <v>2600</v>
      </c>
      <c r="C11" t="s">
        <v>11</v>
      </c>
      <c r="D11" s="3">
        <f>B11*0.08</f>
        <v>208</v>
      </c>
    </row>
    <row r="12" spans="1:4" x14ac:dyDescent="0.25">
      <c r="A12" t="s">
        <v>12</v>
      </c>
      <c r="B12" s="3">
        <f>6000/12</f>
        <v>500</v>
      </c>
      <c r="C12" t="s">
        <v>13</v>
      </c>
      <c r="D12" s="3">
        <v>636.83000000000004</v>
      </c>
    </row>
    <row r="13" spans="1:4" x14ac:dyDescent="0.25">
      <c r="A13" t="s">
        <v>14</v>
      </c>
      <c r="B13" s="3">
        <v>100</v>
      </c>
      <c r="C13" t="s">
        <v>15</v>
      </c>
      <c r="D13" s="3">
        <f>(B11+B12)*0.01</f>
        <v>31</v>
      </c>
    </row>
    <row r="14" spans="1:4" x14ac:dyDescent="0.25">
      <c r="C14" t="s">
        <v>16</v>
      </c>
      <c r="D14" s="3">
        <v>70</v>
      </c>
    </row>
    <row r="15" spans="1:4" x14ac:dyDescent="0.25">
      <c r="C15" t="s">
        <v>17</v>
      </c>
      <c r="D15" s="3">
        <v>630</v>
      </c>
    </row>
    <row r="16" spans="1:4" x14ac:dyDescent="0.25">
      <c r="A16" t="s">
        <v>18</v>
      </c>
      <c r="B16" s="3">
        <f>SUM(B11:B13)</f>
        <v>3200</v>
      </c>
      <c r="C16" t="s">
        <v>19</v>
      </c>
      <c r="D16" s="3">
        <f>SUM(D11:D15)</f>
        <v>1575.83</v>
      </c>
    </row>
    <row r="17" spans="3:4" x14ac:dyDescent="0.25">
      <c r="C17" t="s">
        <v>20</v>
      </c>
      <c r="D17" s="3">
        <f>B11-D16</f>
        <v>1024.17</v>
      </c>
    </row>
    <row r="18" spans="3:4" x14ac:dyDescent="0.25">
      <c r="D18" s="4"/>
    </row>
  </sheetData>
  <mergeCells count="1">
    <mergeCell ref="A1:D1"/>
  </mergeCells>
  <pageMargins left="0.7" right="0.7" top="0.75" bottom="0.75" header="0.3" footer="0.3"/>
  <pageSetup orientation="portrait" r:id="rId1"/>
  <headerFooter>
    <oddFooter>&amp;LKunal Arya | MCA-1 | 26CAMSAG102  | 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CSD</cp:lastModifiedBy>
  <dcterms:created xsi:type="dcterms:W3CDTF">2015-06-05T18:17:20Z</dcterms:created>
  <dcterms:modified xsi:type="dcterms:W3CDTF">2026-08-12T06:40:38Z</dcterms:modified>
</cp:coreProperties>
</file>