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P\Desktop\KUNAL\week 1\Question 4\"/>
    </mc:Choice>
  </mc:AlternateContent>
  <xr:revisionPtr revIDLastSave="0" documentId="13_ncr:1_{711A795F-F721-4797-B03E-1E80D5484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E8" i="1"/>
  <c r="D8" i="1"/>
  <c r="E10" i="1"/>
  <c r="E9" i="1"/>
  <c r="E7" i="1"/>
  <c r="D3" i="1"/>
  <c r="F3" i="1" s="1"/>
  <c r="G3" i="1" s="1"/>
  <c r="D4" i="1"/>
  <c r="F4" i="1" s="1"/>
  <c r="G4" i="1" s="1"/>
  <c r="D5" i="1"/>
  <c r="F5" i="1" s="1"/>
  <c r="G5" i="1" s="1"/>
  <c r="C3" i="1"/>
  <c r="C4" i="1"/>
  <c r="C5" i="1"/>
  <c r="C6" i="1"/>
  <c r="C2" i="1"/>
  <c r="D2" i="1" s="1"/>
  <c r="F6" i="1" l="1"/>
  <c r="G6" i="1" s="1"/>
  <c r="G8" i="1" s="1"/>
  <c r="F8" i="1"/>
  <c r="F2" i="1"/>
  <c r="D10" i="1"/>
  <c r="D9" i="1"/>
  <c r="G10" i="1"/>
  <c r="F10" i="1" l="1"/>
  <c r="F9" i="1"/>
  <c r="F7" i="1"/>
  <c r="G2" i="1"/>
  <c r="G9" i="1" l="1"/>
  <c r="G7" i="1"/>
  <c r="B2" i="2"/>
</calcChain>
</file>

<file path=xl/sharedStrings.xml><?xml version="1.0" encoding="utf-8"?>
<sst xmlns="http://schemas.openxmlformats.org/spreadsheetml/2006/main" count="30" uniqueCount="26">
  <si>
    <t>PRODUCT</t>
  </si>
  <si>
    <t>COST PRICE PER LITRE</t>
  </si>
  <si>
    <t>MARK UP PER ITEM 35%</t>
  </si>
  <si>
    <t xml:space="preserve">SELLING PRICE </t>
  </si>
  <si>
    <t>LITRE SOLD</t>
  </si>
  <si>
    <t>TOTAL INCOME</t>
  </si>
  <si>
    <t>PROFIT</t>
  </si>
  <si>
    <t>Cascade</t>
  </si>
  <si>
    <t>Quench</t>
  </si>
  <si>
    <t>Xtra</t>
  </si>
  <si>
    <t>Sun Splash</t>
  </si>
  <si>
    <t>House Brand</t>
  </si>
  <si>
    <t>TOTAL</t>
  </si>
  <si>
    <t>HIGHEST</t>
  </si>
  <si>
    <t>LOWEST</t>
  </si>
  <si>
    <t>MARKUP %</t>
  </si>
  <si>
    <t>AVERAGE</t>
  </si>
  <si>
    <t>MARKUP</t>
  </si>
  <si>
    <t>TOTAL PRICE</t>
  </si>
  <si>
    <t>SELLING INCOME</t>
  </si>
  <si>
    <t>B2+C2</t>
  </si>
  <si>
    <t>D2*E2</t>
  </si>
  <si>
    <t>SUM(A2:a6)</t>
  </si>
  <si>
    <t>AVERAGE(A2:a4)</t>
  </si>
  <si>
    <t>MAX(A2:A4)</t>
  </si>
  <si>
    <t>MIN(A2:A5)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</si>
</sst>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 price per Litre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E3-489E-9596-DBE49306D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4E3-489E-9596-DBE49306D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E3-489E-9596-DBE49306D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4E3-489E-9596-DBE49306D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E3-489E-9596-DBE49306D78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3B0A18F-1DC7-481F-8024-97347A98160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E3-489E-9596-DBE49306D7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5097A7-D05F-464D-9B0F-2344D47217B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E3-489E-9596-DBE49306D7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D65675-A149-4EF4-B160-1F0CC2CA245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E3-489E-9596-DBE49306D7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2894D3-6D6F-4887-8957-9ABF8C3C270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E3-489E-9596-DBE49306D7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88BAE2-5CA3-42DC-B491-90A309D15BD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E3-489E-9596-DBE49306D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Sheet1!$A$2:$A$6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Sheet1!$B$2:$B$6</c15:f>
                <c15:dlblRangeCache>
                  <c:ptCount val="5"/>
                  <c:pt idx="0">
                    <c:v>3.75</c:v>
                  </c:pt>
                  <c:pt idx="1">
                    <c:v>3.65</c:v>
                  </c:pt>
                  <c:pt idx="2">
                    <c:v>4.25</c:v>
                  </c:pt>
                  <c:pt idx="3">
                    <c:v>1.5</c:v>
                  </c:pt>
                  <c:pt idx="4">
                    <c:v>1.5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4E3-489E-9596-DBE49306D78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12</xdr:row>
      <xdr:rowOff>128587</xdr:rowOff>
    </xdr:from>
    <xdr:to>
      <xdr:col>6</xdr:col>
      <xdr:colOff>95250</xdr:colOff>
      <xdr:row>27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0B193-5020-9B16-2A39-2741EA651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22" sqref="H22"/>
    </sheetView>
  </sheetViews>
  <sheetFormatPr defaultRowHeight="15" x14ac:dyDescent="0.25"/>
  <cols>
    <col min="1" max="1" width="16" customWidth="1"/>
    <col min="2" max="2" width="19.85546875" customWidth="1"/>
    <col min="3" max="3" width="22" bestFit="1" customWidth="1"/>
    <col min="4" max="4" width="14" bestFit="1" customWidth="1"/>
    <col min="5" max="5" width="10.5703125" bestFit="1" customWidth="1"/>
    <col min="6" max="6" width="14.42578125" bestFit="1" customWidth="1"/>
    <col min="7" max="7" width="18" customWidth="1"/>
    <col min="8" max="8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s="1" t="s">
        <v>7</v>
      </c>
      <c r="B2" s="1">
        <v>3.75</v>
      </c>
      <c r="C2" s="1">
        <f>B2*$H$3</f>
        <v>1.3125</v>
      </c>
      <c r="D2" s="1">
        <f>B2+C2</f>
        <v>5.0625</v>
      </c>
      <c r="E2" s="1">
        <v>234</v>
      </c>
      <c r="F2" s="1">
        <f>D2*E2</f>
        <v>1184.625</v>
      </c>
      <c r="G2" s="1">
        <f>F2-(B2*E2)</f>
        <v>307.125</v>
      </c>
      <c r="H2" s="1" t="s">
        <v>15</v>
      </c>
    </row>
    <row r="3" spans="1:8" x14ac:dyDescent="0.25">
      <c r="A3" s="1" t="s">
        <v>8</v>
      </c>
      <c r="B3" s="1">
        <v>3.65</v>
      </c>
      <c r="C3" s="1">
        <f t="shared" ref="C3:C6" si="0">B3*$H$3</f>
        <v>1.2774999999999999</v>
      </c>
      <c r="D3" s="1">
        <f t="shared" ref="D3:D6" si="1">B3+C3</f>
        <v>4.9275000000000002</v>
      </c>
      <c r="E3" s="1">
        <v>345</v>
      </c>
      <c r="F3" s="1">
        <f t="shared" ref="F3:F6" si="2">D3*E3</f>
        <v>1699.9875000000002</v>
      </c>
      <c r="G3" s="1">
        <f t="shared" ref="G3:G6" si="3">F3-(B3*E3)</f>
        <v>440.73750000000018</v>
      </c>
      <c r="H3" s="2">
        <v>0.35</v>
      </c>
    </row>
    <row r="4" spans="1:8" x14ac:dyDescent="0.25">
      <c r="A4" s="1" t="s">
        <v>9</v>
      </c>
      <c r="B4" s="1">
        <v>4.25</v>
      </c>
      <c r="C4" s="1">
        <f t="shared" si="0"/>
        <v>1.4874999999999998</v>
      </c>
      <c r="D4" s="1">
        <f t="shared" si="1"/>
        <v>5.7374999999999998</v>
      </c>
      <c r="E4" s="1">
        <v>456</v>
      </c>
      <c r="F4" s="1">
        <f t="shared" si="2"/>
        <v>2616.2999999999997</v>
      </c>
      <c r="G4" s="1">
        <f t="shared" si="3"/>
        <v>678.29999999999973</v>
      </c>
      <c r="H4" s="1"/>
    </row>
    <row r="5" spans="1:8" x14ac:dyDescent="0.25">
      <c r="A5" s="1" t="s">
        <v>10</v>
      </c>
      <c r="B5" s="1">
        <v>1.5</v>
      </c>
      <c r="C5" s="1">
        <f t="shared" si="0"/>
        <v>0.52499999999999991</v>
      </c>
      <c r="D5" s="1">
        <f t="shared" si="1"/>
        <v>2.0249999999999999</v>
      </c>
      <c r="E5" s="1">
        <v>123</v>
      </c>
      <c r="F5" s="1">
        <f t="shared" si="2"/>
        <v>249.07499999999999</v>
      </c>
      <c r="G5" s="1">
        <f t="shared" si="3"/>
        <v>64.574999999999989</v>
      </c>
      <c r="H5" s="1"/>
    </row>
    <row r="6" spans="1:8" x14ac:dyDescent="0.25">
      <c r="A6" s="1" t="s">
        <v>11</v>
      </c>
      <c r="B6" s="1">
        <v>1.5</v>
      </c>
      <c r="C6" s="1">
        <f t="shared" si="0"/>
        <v>0.52499999999999991</v>
      </c>
      <c r="D6" s="1">
        <f t="shared" si="1"/>
        <v>2.0249999999999999</v>
      </c>
      <c r="E6" s="1">
        <v>245</v>
      </c>
      <c r="F6" s="1">
        <f t="shared" si="2"/>
        <v>496.125</v>
      </c>
      <c r="G6" s="1">
        <f t="shared" si="3"/>
        <v>128.625</v>
      </c>
      <c r="H6" s="1"/>
    </row>
    <row r="7" spans="1:8" x14ac:dyDescent="0.25">
      <c r="A7" s="3" t="s">
        <v>12</v>
      </c>
      <c r="B7" s="3"/>
      <c r="C7" s="3"/>
      <c r="D7" s="3"/>
      <c r="E7" s="3">
        <f>SUM(E2:E6)</f>
        <v>1403</v>
      </c>
      <c r="F7" s="3">
        <f>SUM(F2:F6)</f>
        <v>6246.1125000000002</v>
      </c>
      <c r="G7" s="3">
        <f>SUM(G2:G6)</f>
        <v>1619.3625</v>
      </c>
      <c r="H7" s="3"/>
    </row>
    <row r="8" spans="1:8" x14ac:dyDescent="0.25">
      <c r="A8" s="3" t="s">
        <v>16</v>
      </c>
      <c r="B8" s="3"/>
      <c r="C8" s="3"/>
      <c r="D8" s="3">
        <f>AVERAGE(D2:D6)</f>
        <v>3.9554999999999993</v>
      </c>
      <c r="E8" s="3">
        <f>AVERAGE(E2:E6)</f>
        <v>280.60000000000002</v>
      </c>
      <c r="F8" s="3">
        <f>AVERAGE(F2:F6)</f>
        <v>1249.2225000000001</v>
      </c>
      <c r="G8" s="3">
        <f>AVERAGE(G2:G6)</f>
        <v>323.8725</v>
      </c>
      <c r="H8" s="3"/>
    </row>
    <row r="9" spans="1:8" x14ac:dyDescent="0.25">
      <c r="A9" s="3" t="s">
        <v>13</v>
      </c>
      <c r="B9" s="3"/>
      <c r="C9" s="3"/>
      <c r="D9" s="3">
        <f>MAX(D2:D6)</f>
        <v>5.7374999999999998</v>
      </c>
      <c r="E9" s="3">
        <f>MAX(E2:E6)</f>
        <v>456</v>
      </c>
      <c r="F9" s="3">
        <f>MAX(F2:F6)</f>
        <v>2616.2999999999997</v>
      </c>
      <c r="G9" s="3">
        <f>MAX(G2:G6)</f>
        <v>678.29999999999973</v>
      </c>
      <c r="H9" s="3"/>
    </row>
    <row r="10" spans="1:8" x14ac:dyDescent="0.25">
      <c r="A10" s="3" t="s">
        <v>14</v>
      </c>
      <c r="B10" s="3"/>
      <c r="C10" s="3"/>
      <c r="D10" s="3">
        <f>MIN(D2:D6)</f>
        <v>2.0249999999999999</v>
      </c>
      <c r="E10" s="3">
        <f>MIN(E2:E6)</f>
        <v>123</v>
      </c>
      <c r="F10" s="3">
        <f>MIN(F2:F6)</f>
        <v>249.07499999999999</v>
      </c>
      <c r="G10" s="3">
        <f>MIN(G3:G6)</f>
        <v>64.574999999999989</v>
      </c>
      <c r="H10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DAE9-C582-44E2-BFC8-3DEC7F7A89EA}">
  <dimension ref="A2:B10"/>
  <sheetViews>
    <sheetView workbookViewId="0">
      <selection activeCell="B17" sqref="B17"/>
    </sheetView>
  </sheetViews>
  <sheetFormatPr defaultRowHeight="15" x14ac:dyDescent="0.25"/>
  <cols>
    <col min="1" max="1" width="15.85546875" bestFit="1" customWidth="1"/>
  </cols>
  <sheetData>
    <row r="2" spans="1:2" x14ac:dyDescent="0.25">
      <c r="A2" t="s">
        <v>17</v>
      </c>
      <c r="B2">
        <f ca="1">B2*$H$3</f>
        <v>0</v>
      </c>
    </row>
    <row r="3" spans="1:2" x14ac:dyDescent="0.25">
      <c r="A3" t="s">
        <v>18</v>
      </c>
      <c r="B3" t="s">
        <v>20</v>
      </c>
    </row>
    <row r="4" spans="1:2" x14ac:dyDescent="0.25">
      <c r="A4" t="s">
        <v>19</v>
      </c>
      <c r="B4" t="s">
        <v>21</v>
      </c>
    </row>
    <row r="7" spans="1:2" x14ac:dyDescent="0.25">
      <c r="A7" t="s">
        <v>12</v>
      </c>
      <c r="B7" t="s">
        <v>22</v>
      </c>
    </row>
    <row r="8" spans="1:2" x14ac:dyDescent="0.25">
      <c r="A8" t="s">
        <v>16</v>
      </c>
      <c r="B8" t="s">
        <v>23</v>
      </c>
    </row>
    <row r="9" spans="1:2" x14ac:dyDescent="0.25">
      <c r="A9" t="s">
        <v>13</v>
      </c>
      <c r="B9" t="s">
        <v>24</v>
      </c>
    </row>
    <row r="10" spans="1:2" x14ac:dyDescent="0.25">
      <c r="A10" t="s">
        <v>14</v>
      </c>
      <c r="B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2015-06-05T18:17:20Z</dcterms:created>
  <dcterms:modified xsi:type="dcterms:W3CDTF">2026-08-12T07:18:10Z</dcterms:modified>
</cp:coreProperties>
</file>